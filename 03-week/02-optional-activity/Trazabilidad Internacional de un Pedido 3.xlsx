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F1573BD1-29E4-41DA-9762-B87EFA82EA06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Barrio" sheetId="3" r:id="rId1"/>
    <sheet name="municipio" sheetId="4" r:id="rId2"/>
    <sheet name="departamento" sheetId="5" r:id="rId3"/>
    <sheet name="pais" sheetId="6" r:id="rId4"/>
    <sheet name="continente" sheetId="7" r:id="rId5"/>
    <sheet name="Producto" sheetId="1" r:id="rId6"/>
    <sheet name="Pedido" sheetId="2" r:id="rId7"/>
    <sheet name="CONSULTA" sheetId="8" r:id="rId8"/>
  </sheets>
  <definedNames>
    <definedName name="_xlnm._FilterDatabase" localSheetId="6" hidden="1">Pedido!$A$1:$N$11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8" l="1"/>
  <c r="E4" i="8"/>
  <c r="B10" i="8"/>
  <c r="B8" i="8"/>
  <c r="B7" i="8"/>
  <c r="C2" i="2"/>
  <c r="B9" i="8" s="1"/>
  <c r="M2" i="2"/>
  <c r="O2" i="2"/>
  <c r="K2" i="2"/>
  <c r="G3" i="2"/>
  <c r="G4" i="2"/>
  <c r="G5" i="2"/>
  <c r="G6" i="2"/>
  <c r="G7" i="2"/>
  <c r="G8" i="2"/>
  <c r="G9" i="2"/>
  <c r="G10" i="2"/>
  <c r="G11" i="2"/>
  <c r="G2" i="2"/>
  <c r="F2" i="2"/>
  <c r="F11" i="2"/>
  <c r="F3" i="2"/>
  <c r="F4" i="2"/>
  <c r="F5" i="2"/>
  <c r="F6" i="2"/>
  <c r="F7" i="2"/>
  <c r="F8" i="2"/>
  <c r="F9" i="2"/>
  <c r="F10" i="2"/>
  <c r="O4" i="2"/>
  <c r="O5" i="2"/>
  <c r="O6" i="2"/>
  <c r="O7" i="2"/>
  <c r="O8" i="2"/>
  <c r="O9" i="2"/>
  <c r="O10" i="2"/>
  <c r="O3" i="2"/>
  <c r="O11" i="2"/>
  <c r="K3" i="2"/>
  <c r="K4" i="2"/>
  <c r="K5" i="2"/>
  <c r="K6" i="2"/>
  <c r="K7" i="2"/>
  <c r="K8" i="2"/>
  <c r="K9" i="2"/>
  <c r="K10" i="2"/>
  <c r="K11" i="2"/>
  <c r="I2" i="2"/>
  <c r="M3" i="2"/>
  <c r="M4" i="2"/>
  <c r="M5" i="2"/>
  <c r="M6" i="2"/>
  <c r="M7" i="2"/>
  <c r="M8" i="2"/>
  <c r="M9" i="2"/>
  <c r="M10" i="2"/>
  <c r="M11" i="2"/>
  <c r="I4" i="2"/>
  <c r="I5" i="2"/>
  <c r="I6" i="2"/>
  <c r="I7" i="2"/>
  <c r="I8" i="2"/>
  <c r="I9" i="2"/>
  <c r="I10" i="2"/>
  <c r="I11" i="2"/>
  <c r="I3" i="2"/>
  <c r="C3" i="2"/>
  <c r="C4" i="2"/>
  <c r="C5" i="2"/>
  <c r="C6" i="2"/>
  <c r="C7" i="2"/>
  <c r="C8" i="2"/>
  <c r="C9" i="2"/>
  <c r="C10" i="2"/>
  <c r="C11" i="2"/>
</calcChain>
</file>

<file path=xl/sharedStrings.xml><?xml version="1.0" encoding="utf-8"?>
<sst xmlns="http://schemas.openxmlformats.org/spreadsheetml/2006/main" count="335" uniqueCount="229">
  <si>
    <t>codigo</t>
  </si>
  <si>
    <t xml:space="preserve">nombre </t>
  </si>
  <si>
    <t>Precio</t>
  </si>
  <si>
    <t>SHN-001</t>
  </si>
  <si>
    <t>SHN-002</t>
  </si>
  <si>
    <t>Jeans Skinny Azul Claro</t>
  </si>
  <si>
    <t>SHN-003</t>
  </si>
  <si>
    <t>Vestido Floral Corto Verano</t>
  </si>
  <si>
    <t>SHN-004</t>
  </si>
  <si>
    <t>Chaqueta Denim Oversize</t>
  </si>
  <si>
    <t>SHN-005</t>
  </si>
  <si>
    <t>Conjunto Deportivo Mujer Negro</t>
  </si>
  <si>
    <t>SHN-006</t>
  </si>
  <si>
    <t>Zapatos Deportivos Blancos</t>
  </si>
  <si>
    <t>SHN-007</t>
  </si>
  <si>
    <t>Bolso Crossbody Marrón</t>
  </si>
  <si>
    <t>Pijama Satín Rosa</t>
  </si>
  <si>
    <t>SHN-009</t>
  </si>
  <si>
    <t xml:space="preserve">SHN-008
</t>
  </si>
  <si>
    <t>Top Crop Blanco</t>
  </si>
  <si>
    <t>SHN-010</t>
  </si>
  <si>
    <t>Falda Plisada Negra</t>
  </si>
  <si>
    <t>nombre</t>
  </si>
  <si>
    <t>descripcion</t>
  </si>
  <si>
    <t>descripción</t>
  </si>
  <si>
    <t>código</t>
  </si>
  <si>
    <t>BAR-001</t>
  </si>
  <si>
    <t>La Candelaria</t>
  </si>
  <si>
    <t>Barrio histórico y turístico con arquitectura colonial y zonas comerciales.</t>
  </si>
  <si>
    <t>BAR-002</t>
  </si>
  <si>
    <t>Sector residencial y comercial con universidades y restaurantes.</t>
  </si>
  <si>
    <t>Chapinero</t>
  </si>
  <si>
    <t>BAR-003</t>
  </si>
  <si>
    <t>El Poblado</t>
  </si>
  <si>
    <t>Zona exclusiva con centros comerciales y vida nocturna activa.</t>
  </si>
  <si>
    <t>BAR-004</t>
  </si>
  <si>
    <t>Laureles</t>
  </si>
  <si>
    <t>Barrio residencial tradicional con parques y zonas deportivas.</t>
  </si>
  <si>
    <t>BAR-005</t>
  </si>
  <si>
    <t>San Fernando</t>
  </si>
  <si>
    <t>Sector tranquilo con áreas verdes y viviendas familiares.</t>
  </si>
  <si>
    <t>BAR-006</t>
  </si>
  <si>
    <t>Ciudad Jardín</t>
  </si>
  <si>
    <t>Zona residencial de alto nivel con colegios y universidades cercanas.</t>
  </si>
  <si>
    <t>BAR-007</t>
  </si>
  <si>
    <t>Manga</t>
  </si>
  <si>
    <t>Barrio residencial con vista a la bahía y edificios moderno</t>
  </si>
  <si>
    <t>BAR-008</t>
  </si>
  <si>
    <t>Bocagrande</t>
  </si>
  <si>
    <t>Zona turística con hoteles, playas y comercio.</t>
  </si>
  <si>
    <t>BAR-009</t>
  </si>
  <si>
    <t>Cabecera del Llano</t>
  </si>
  <si>
    <t>Sector comercial y residencial con centros médicos y tiendas.</t>
  </si>
  <si>
    <t>BAR-010</t>
  </si>
  <si>
    <t>Provenza</t>
  </si>
  <si>
    <t>Barrio gastronómico y turístico con restaurantes y cafés.</t>
  </si>
  <si>
    <t>Codigo</t>
  </si>
  <si>
    <t>Descripcion</t>
  </si>
  <si>
    <t>Nombre</t>
  </si>
  <si>
    <t>CONT-01</t>
  </si>
  <si>
    <t>África</t>
  </si>
  <si>
    <t>Segundo continente más grande del mundo, con gran diversidad cultural y natural.</t>
  </si>
  <si>
    <t>América del Norte</t>
  </si>
  <si>
    <t>CONT-02</t>
  </si>
  <si>
    <t>Región que incluye países como Canadá, Estados Unidos y México.</t>
  </si>
  <si>
    <t>ONT-03</t>
  </si>
  <si>
    <t>América del Sur</t>
  </si>
  <si>
    <t>Continente con gran biodiversidad y la selva amazónica</t>
  </si>
  <si>
    <t>CONT-04</t>
  </si>
  <si>
    <t>América Central</t>
  </si>
  <si>
    <t>Región que conecta América del Norte con América del Sur.</t>
  </si>
  <si>
    <t>CONT-05</t>
  </si>
  <si>
    <t>Europa</t>
  </si>
  <si>
    <t>Continente con gran influencia histórica, cultural y económica.</t>
  </si>
  <si>
    <t>CONT-06</t>
  </si>
  <si>
    <t>Asia</t>
  </si>
  <si>
    <r>
      <t>:</t>
    </r>
    <r>
      <rPr>
        <sz val="11"/>
        <color theme="1"/>
        <rFont val="Calibri"/>
        <family val="2"/>
        <scheme val="minor"/>
      </rPr>
      <t xml:space="preserve"> El continente más grande y poblado del planeta.</t>
    </r>
  </si>
  <si>
    <t>CONT-07</t>
  </si>
  <si>
    <t>Oceanía</t>
  </si>
  <si>
    <t>Región compuesta por Australia, Nueva Zelanda y múltiples islas del Pacífico.</t>
  </si>
  <si>
    <t>CONT-08</t>
  </si>
  <si>
    <t>Antártida</t>
  </si>
  <si>
    <t>Continente más frío del mundo, cubierto casi totalmente por hielo.</t>
  </si>
  <si>
    <t>CONT-09</t>
  </si>
  <si>
    <t>Eurasia</t>
  </si>
  <si>
    <t>Supercontinente que combina Europa y Asia como una sola masa continental.</t>
  </si>
  <si>
    <t>CONT-10</t>
  </si>
  <si>
    <t>América</t>
  </si>
  <si>
    <t>Continente que agrupa América del Norte, Central y del Sur.</t>
  </si>
  <si>
    <t>contindente_id</t>
  </si>
  <si>
    <t>PAIS-001</t>
  </si>
  <si>
    <t>CONT-03</t>
  </si>
  <si>
    <t>País sudamericano con gran diversidad cultural y natural.</t>
  </si>
  <si>
    <t>colombiano</t>
  </si>
  <si>
    <t>PAIS-002</t>
  </si>
  <si>
    <t>Canadá</t>
  </si>
  <si>
    <t>Nación norteamericana reconocida por su calidad de vida y paisajes naturales.</t>
  </si>
  <si>
    <t>PAIS-003</t>
  </si>
  <si>
    <t>Alemania</t>
  </si>
  <si>
    <t>País europeo con fuerte economía industrial y tecnológica.</t>
  </si>
  <si>
    <t>PAIS-004</t>
  </si>
  <si>
    <t>Japón</t>
  </si>
  <si>
    <t>País asiático destacado por su innovación tecnológica y cultura tradicional.</t>
  </si>
  <si>
    <t>PAIS-005</t>
  </si>
  <si>
    <t>Australia</t>
  </si>
  <si>
    <t>PAIS-006</t>
  </si>
  <si>
    <t>PAIS-007</t>
  </si>
  <si>
    <t>PAIS-008</t>
  </si>
  <si>
    <t>PAIS-009</t>
  </si>
  <si>
    <t>PAIS-010</t>
  </si>
  <si>
    <t>Nación de Oceanía con biodiversidad única y gran territorio insular.</t>
  </si>
  <si>
    <t>Egipto</t>
  </si>
  <si>
    <t>País africano famoso por sus monumentos históricos y civilización antigua.</t>
  </si>
  <si>
    <t>Argentina</t>
  </si>
  <si>
    <t>Nación sudamericana reconocida por su cultura y producción agrícola.</t>
  </si>
  <si>
    <t>India</t>
  </si>
  <si>
    <t>País asiático con gran diversidad cultural y demográfica.</t>
  </si>
  <si>
    <t>Francia</t>
  </si>
  <si>
    <t>Nación europea con gran influencia cultural y turística.</t>
  </si>
  <si>
    <t>Sudáfrica</t>
  </si>
  <si>
    <t>País africano con diversidad étnica y riqueza natural.</t>
  </si>
  <si>
    <t>Pais_id</t>
  </si>
  <si>
    <t>DEP-001</t>
  </si>
  <si>
    <t>DEP-002</t>
  </si>
  <si>
    <t>DEP-003</t>
  </si>
  <si>
    <t>DEP-004</t>
  </si>
  <si>
    <t>DEP-005</t>
  </si>
  <si>
    <t>DEP-006</t>
  </si>
  <si>
    <t>DEP-007</t>
  </si>
  <si>
    <t>DEP-008</t>
  </si>
  <si>
    <t>DEP-009</t>
  </si>
  <si>
    <t>DEP-010</t>
  </si>
  <si>
    <t>Antioquia</t>
  </si>
  <si>
    <t>Ontario</t>
  </si>
  <si>
    <t>Baviera</t>
  </si>
  <si>
    <t>Tokio</t>
  </si>
  <si>
    <t>Nueva Gales del Sur</t>
  </si>
  <si>
    <t>Giza</t>
  </si>
  <si>
    <t>Buenos Aires</t>
  </si>
  <si>
    <t>Île-de-France</t>
  </si>
  <si>
    <t>Gauteng</t>
  </si>
  <si>
    <t>Maharashtra</t>
  </si>
  <si>
    <t>Departamento colombiano reconocido por su desarrollo industrial y cultural.</t>
  </si>
  <si>
    <t>Provincia canadiense con gran actividad económica y población.</t>
  </si>
  <si>
    <t>Estado federado alemán conocido por su tradición y potencia industrial.</t>
  </si>
  <si>
    <t>Prefectura japonesa que concentra el mayor centro urbano del país.</t>
  </si>
  <si>
    <t>Estado australiano con importantes centros urbanos y económicos.</t>
  </si>
  <si>
    <t>Gobernación egipcia famosa por sus pirámides y patrimonio histórico.</t>
  </si>
  <si>
    <t>Provincia argentina con fuerte desarrollo agrícola y urbano.</t>
  </si>
  <si>
    <t>Estado de la India con gran importancia económica e industrial.</t>
  </si>
  <si>
    <t>Región francesa donde se ubica la capital del país.</t>
  </si>
  <si>
    <t>Provincia sudafricana con alta concentración económica y urbana.</t>
  </si>
  <si>
    <t>Departamento_id</t>
  </si>
  <si>
    <t>MUN-001</t>
  </si>
  <si>
    <t>MUN-002</t>
  </si>
  <si>
    <t>MUN-003</t>
  </si>
  <si>
    <t>MUN-004</t>
  </si>
  <si>
    <t>MUN-005</t>
  </si>
  <si>
    <t>MUN-006</t>
  </si>
  <si>
    <t>MUN-007</t>
  </si>
  <si>
    <t>MUN-008</t>
  </si>
  <si>
    <t>MUN-009</t>
  </si>
  <si>
    <t>MUN-010</t>
  </si>
  <si>
    <t>Medellín</t>
  </si>
  <si>
    <t>Municipio colombiano reconocido por su innovación y desarrollo urbano.</t>
  </si>
  <si>
    <t>Toronto</t>
  </si>
  <si>
    <t>Ciudad canadiense considerada centro financiero y cultural.</t>
  </si>
  <si>
    <t>Múnich</t>
  </si>
  <si>
    <t>Shinjuku</t>
  </si>
  <si>
    <t>Ciudad alemana famosa por su industria y tradición bávara.</t>
  </si>
  <si>
    <t>Distrito especial de Tokio con gran actividad comercial y empresarial.</t>
  </si>
  <si>
    <t>Sídney</t>
  </si>
  <si>
    <t>Municipio egipcio conocido por las pirámides y atractivo turístico.</t>
  </si>
  <si>
    <t>Ciudad australiana destacada por su puerto y actividad económica.</t>
  </si>
  <si>
    <t>La Plata</t>
  </si>
  <si>
    <t>Ciudad argentina capital de la provincia de Buenos Aires.</t>
  </si>
  <si>
    <t>Mumbai</t>
  </si>
  <si>
    <t>Ciudad india considerada el centro financiero del país.</t>
  </si>
  <si>
    <t>Capital francesa y centro cultural y turístico mundial.</t>
  </si>
  <si>
    <t>París</t>
  </si>
  <si>
    <t>Johannesburgo</t>
  </si>
  <si>
    <t>Ciudad sudafricana con gran importancia económica.</t>
  </si>
  <si>
    <t>id_producto</t>
  </si>
  <si>
    <t>id_origen</t>
  </si>
  <si>
    <t>direccion</t>
  </si>
  <si>
    <t>Barrio_id</t>
  </si>
  <si>
    <t>PED-001</t>
  </si>
  <si>
    <t>PED-002</t>
  </si>
  <si>
    <t>PED-003</t>
  </si>
  <si>
    <t>PED-004</t>
  </si>
  <si>
    <t>PED-005</t>
  </si>
  <si>
    <t>PED-006</t>
  </si>
  <si>
    <t>PED-007</t>
  </si>
  <si>
    <t>PED-008</t>
  </si>
  <si>
    <t>PED-009</t>
  </si>
  <si>
    <t>PED-010</t>
  </si>
  <si>
    <t xml:space="preserve">pais_destino </t>
  </si>
  <si>
    <t>Calle 72 #9-55</t>
  </si>
  <si>
    <t xml:space="preserve"> Avenida Boyacá #134-60</t>
  </si>
  <si>
    <t>Carrera 15 #100-25</t>
  </si>
  <si>
    <t xml:space="preserve"> Calle 80 #70-10</t>
  </si>
  <si>
    <t>Transversal 93 #53-80</t>
  </si>
  <si>
    <t xml:space="preserve"> Carrera 50 33-42</t>
  </si>
  <si>
    <t>Calle 10 5-18</t>
  </si>
  <si>
    <t xml:space="preserve"> Avenida 68 #24-15</t>
  </si>
  <si>
    <t>Carrera 7 85-20</t>
  </si>
  <si>
    <t>Calle 45 #12-30</t>
  </si>
  <si>
    <t>Cliente</t>
  </si>
  <si>
    <t>Valentina</t>
  </si>
  <si>
    <t>Santiago</t>
  </si>
  <si>
    <t>Isabella</t>
  </si>
  <si>
    <t>Mateo</t>
  </si>
  <si>
    <t>Camila</t>
  </si>
  <si>
    <t>Sebastián</t>
  </si>
  <si>
    <t>Mariana</t>
  </si>
  <si>
    <t>Daniel</t>
  </si>
  <si>
    <t>Gabriela</t>
  </si>
  <si>
    <t>Nicolás</t>
  </si>
  <si>
    <t>iphon 17</t>
  </si>
  <si>
    <t>Municipio_origen</t>
  </si>
  <si>
    <t>id_Destino</t>
  </si>
  <si>
    <t>Codigo:</t>
  </si>
  <si>
    <t>Desde qué ciudad se envió el pedido</t>
  </si>
  <si>
    <t>En qué continente se encuentra el destino?</t>
  </si>
  <si>
    <t>Qué producto fue enviado</t>
  </si>
  <si>
    <t>¿Cuál es la ruta geográfica completa del pedido?</t>
  </si>
  <si>
    <t>continente_id</t>
  </si>
  <si>
    <t>clientes</t>
  </si>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</sst>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8" formatCode="_-[$$-240A]\ * #,##0.00_-;\-[$$-240A]\ * #,##0.00_-;_-[$$-240A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44" fontId="0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44" fontId="0" fillId="0" borderId="0" xfId="1" applyFont="1"/>
    <xf numFmtId="6" fontId="0" fillId="0" borderId="1" xfId="1" applyNumberFormat="1" applyFont="1" applyBorder="1" applyAlignment="1">
      <alignment horizontal="center" vertical="center"/>
    </xf>
    <xf numFmtId="6" fontId="0" fillId="0" borderId="1" xfId="1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5</xdr:row>
      <xdr:rowOff>9524</xdr:rowOff>
    </xdr:to>
    <xdr:pic>
      <xdr:nvPicPr>
        <xdr:cNvPr id="3" name="Imagen 2" descr="Shein supera a Zara y H&amp;M en la ropa rápida">
          <a:extLst>
            <a:ext uri="{FF2B5EF4-FFF2-40B4-BE49-F238E27FC236}">
              <a16:creationId xmlns:a16="http://schemas.microsoft.com/office/drawing/2014/main" id="{7B16FD55-655E-309C-9E62-6561FCA68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5450" cy="96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4" sqref="B4"/>
    </sheetView>
  </sheetViews>
  <sheetFormatPr baseColWidth="10" defaultRowHeight="15" x14ac:dyDescent="0.25"/>
  <cols>
    <col min="2" max="2" width="15.85546875" customWidth="1"/>
    <col min="3" max="3" width="18.42578125" customWidth="1"/>
    <col min="4" max="4" width="14.28515625" customWidth="1"/>
  </cols>
  <sheetData>
    <row r="1" spans="1:4" x14ac:dyDescent="0.25">
      <c r="A1" s="18" t="s">
        <v>25</v>
      </c>
      <c r="B1" s="18" t="s">
        <v>22</v>
      </c>
      <c r="C1" s="18" t="s">
        <v>24</v>
      </c>
    </row>
    <row r="2" spans="1:4" ht="75" x14ac:dyDescent="0.25">
      <c r="A2" s="2" t="s">
        <v>26</v>
      </c>
      <c r="B2" s="2" t="s">
        <v>27</v>
      </c>
      <c r="C2" s="3" t="s">
        <v>28</v>
      </c>
      <c r="D2" s="10"/>
    </row>
    <row r="3" spans="1:4" ht="60" x14ac:dyDescent="0.25">
      <c r="A3" s="2" t="s">
        <v>29</v>
      </c>
      <c r="B3" s="2" t="s">
        <v>31</v>
      </c>
      <c r="C3" s="3" t="s">
        <v>30</v>
      </c>
      <c r="D3" s="4"/>
    </row>
    <row r="4" spans="1:4" ht="60" x14ac:dyDescent="0.25">
      <c r="A4" s="3" t="s">
        <v>32</v>
      </c>
      <c r="B4" s="3" t="s">
        <v>33</v>
      </c>
      <c r="C4" s="3" t="s">
        <v>34</v>
      </c>
      <c r="D4" s="4"/>
    </row>
    <row r="5" spans="1:4" ht="60" x14ac:dyDescent="0.25">
      <c r="A5" s="2" t="s">
        <v>35</v>
      </c>
      <c r="B5" s="2" t="s">
        <v>36</v>
      </c>
      <c r="C5" s="3" t="s">
        <v>37</v>
      </c>
      <c r="D5" s="10"/>
    </row>
    <row r="6" spans="1:4" ht="60" x14ac:dyDescent="0.25">
      <c r="A6" s="2" t="s">
        <v>38</v>
      </c>
      <c r="B6" s="2" t="s">
        <v>39</v>
      </c>
      <c r="C6" s="3" t="s">
        <v>40</v>
      </c>
      <c r="D6" s="10"/>
    </row>
    <row r="7" spans="1:4" ht="75" x14ac:dyDescent="0.25">
      <c r="A7" s="2" t="s">
        <v>41</v>
      </c>
      <c r="B7" s="2" t="s">
        <v>42</v>
      </c>
      <c r="C7" s="3" t="s">
        <v>43</v>
      </c>
      <c r="D7" s="10"/>
    </row>
    <row r="8" spans="1:4" ht="60" x14ac:dyDescent="0.25">
      <c r="A8" s="2" t="s">
        <v>44</v>
      </c>
      <c r="B8" s="2" t="s">
        <v>45</v>
      </c>
      <c r="C8" s="3" t="s">
        <v>46</v>
      </c>
      <c r="D8" s="10"/>
    </row>
    <row r="9" spans="1:4" ht="45" x14ac:dyDescent="0.25">
      <c r="A9" s="2" t="s">
        <v>47</v>
      </c>
      <c r="B9" s="2" t="s">
        <v>48</v>
      </c>
      <c r="C9" s="3" t="s">
        <v>49</v>
      </c>
      <c r="D9" s="10"/>
    </row>
    <row r="10" spans="1:4" ht="60" x14ac:dyDescent="0.25">
      <c r="A10" s="2" t="s">
        <v>50</v>
      </c>
      <c r="B10" s="3" t="s">
        <v>51</v>
      </c>
      <c r="C10" s="3" t="s">
        <v>52</v>
      </c>
      <c r="D10" s="10"/>
    </row>
    <row r="11" spans="1:4" ht="75" x14ac:dyDescent="0.25">
      <c r="A11" s="2" t="s">
        <v>53</v>
      </c>
      <c r="B11" s="2" t="s">
        <v>54</v>
      </c>
      <c r="C11" s="3" t="s">
        <v>55</v>
      </c>
      <c r="D1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H12"/>
  <sheetViews>
    <sheetView workbookViewId="0">
      <selection activeCell="A3" sqref="A3"/>
    </sheetView>
  </sheetViews>
  <sheetFormatPr baseColWidth="10" defaultRowHeight="15" x14ac:dyDescent="0.25"/>
  <cols>
    <col min="2" max="2" width="18.85546875" customWidth="1"/>
  </cols>
  <sheetData>
    <row r="1" spans="1:8" x14ac:dyDescent="0.25">
      <c r="A1" s="17" t="s">
        <v>56</v>
      </c>
      <c r="B1" s="17" t="s">
        <v>152</v>
      </c>
      <c r="C1" s="17" t="s">
        <v>22</v>
      </c>
      <c r="D1" s="17" t="s">
        <v>23</v>
      </c>
      <c r="E1" s="4"/>
      <c r="F1" s="4"/>
      <c r="G1" s="4"/>
      <c r="H1" s="4"/>
    </row>
    <row r="2" spans="1:8" ht="105" x14ac:dyDescent="0.25">
      <c r="A2" s="3" t="s">
        <v>153</v>
      </c>
      <c r="B2" s="3" t="s">
        <v>122</v>
      </c>
      <c r="C2" s="3" t="s">
        <v>163</v>
      </c>
      <c r="D2" s="3" t="s">
        <v>164</v>
      </c>
      <c r="E2" s="4"/>
      <c r="F2" s="4"/>
      <c r="G2" s="4"/>
      <c r="H2" s="4"/>
    </row>
    <row r="3" spans="1:8" ht="90" x14ac:dyDescent="0.25">
      <c r="A3" s="3" t="s">
        <v>154</v>
      </c>
      <c r="B3" s="3" t="s">
        <v>123</v>
      </c>
      <c r="C3" s="3" t="s">
        <v>165</v>
      </c>
      <c r="D3" s="3" t="s">
        <v>166</v>
      </c>
      <c r="E3" s="4"/>
      <c r="F3" s="4"/>
      <c r="G3" s="4"/>
      <c r="H3" s="4"/>
    </row>
    <row r="4" spans="1:8" ht="90" x14ac:dyDescent="0.25">
      <c r="A4" s="3" t="s">
        <v>155</v>
      </c>
      <c r="B4" s="3" t="s">
        <v>124</v>
      </c>
      <c r="C4" s="3" t="s">
        <v>167</v>
      </c>
      <c r="D4" s="3" t="s">
        <v>169</v>
      </c>
      <c r="E4" s="4"/>
      <c r="F4" s="4"/>
      <c r="G4" s="4"/>
      <c r="H4" s="4"/>
    </row>
    <row r="5" spans="1:8" ht="120" x14ac:dyDescent="0.25">
      <c r="A5" s="3" t="s">
        <v>156</v>
      </c>
      <c r="B5" s="3" t="s">
        <v>125</v>
      </c>
      <c r="C5" s="3" t="s">
        <v>168</v>
      </c>
      <c r="D5" s="3" t="s">
        <v>170</v>
      </c>
      <c r="E5" s="4"/>
      <c r="F5" s="4"/>
      <c r="G5" s="4"/>
      <c r="H5" s="4"/>
    </row>
    <row r="6" spans="1:8" ht="105" x14ac:dyDescent="0.25">
      <c r="A6" s="3" t="s">
        <v>157</v>
      </c>
      <c r="B6" s="3" t="s">
        <v>126</v>
      </c>
      <c r="C6" s="3" t="s">
        <v>171</v>
      </c>
      <c r="D6" s="3" t="s">
        <v>173</v>
      </c>
      <c r="E6" s="4"/>
      <c r="F6" s="4"/>
      <c r="G6" s="4"/>
      <c r="H6" s="4"/>
    </row>
    <row r="7" spans="1:8" ht="105" x14ac:dyDescent="0.25">
      <c r="A7" s="3" t="s">
        <v>158</v>
      </c>
      <c r="B7" s="3" t="s">
        <v>127</v>
      </c>
      <c r="C7" s="3" t="s">
        <v>137</v>
      </c>
      <c r="D7" s="3" t="s">
        <v>172</v>
      </c>
      <c r="E7" s="4"/>
      <c r="F7" s="4"/>
      <c r="G7" s="4"/>
      <c r="H7" s="4"/>
    </row>
    <row r="8" spans="1:8" ht="90" x14ac:dyDescent="0.25">
      <c r="A8" s="3" t="s">
        <v>159</v>
      </c>
      <c r="B8" s="3" t="s">
        <v>128</v>
      </c>
      <c r="C8" s="3" t="s">
        <v>174</v>
      </c>
      <c r="D8" s="3" t="s">
        <v>175</v>
      </c>
      <c r="E8" s="4"/>
      <c r="F8" s="4"/>
      <c r="G8" s="4"/>
      <c r="H8" s="4"/>
    </row>
    <row r="9" spans="1:8" ht="90" x14ac:dyDescent="0.25">
      <c r="A9" s="3" t="s">
        <v>160</v>
      </c>
      <c r="B9" s="3" t="s">
        <v>129</v>
      </c>
      <c r="C9" s="3" t="s">
        <v>176</v>
      </c>
      <c r="D9" s="3" t="s">
        <v>177</v>
      </c>
      <c r="E9" s="4"/>
      <c r="F9" s="4"/>
      <c r="G9" s="4"/>
      <c r="H9" s="4"/>
    </row>
    <row r="10" spans="1:8" ht="90" x14ac:dyDescent="0.25">
      <c r="A10" s="3" t="s">
        <v>161</v>
      </c>
      <c r="B10" s="3" t="s">
        <v>130</v>
      </c>
      <c r="C10" s="3" t="s">
        <v>179</v>
      </c>
      <c r="D10" s="3" t="s">
        <v>178</v>
      </c>
      <c r="E10" s="4"/>
      <c r="F10" s="4"/>
      <c r="G10" s="4"/>
      <c r="H10" s="4"/>
    </row>
    <row r="11" spans="1:8" ht="90" x14ac:dyDescent="0.25">
      <c r="A11" s="3" t="s">
        <v>162</v>
      </c>
      <c r="B11" s="3" t="s">
        <v>131</v>
      </c>
      <c r="C11" s="3" t="s">
        <v>180</v>
      </c>
      <c r="D11" s="3" t="s">
        <v>181</v>
      </c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D4" sqref="D4"/>
    </sheetView>
  </sheetViews>
  <sheetFormatPr baseColWidth="10" defaultRowHeight="15" x14ac:dyDescent="0.25"/>
  <sheetData>
    <row r="1" spans="1:8" x14ac:dyDescent="0.25">
      <c r="A1" s="18" t="s">
        <v>0</v>
      </c>
      <c r="B1" s="18" t="s">
        <v>121</v>
      </c>
      <c r="C1" s="18" t="s">
        <v>22</v>
      </c>
      <c r="D1" s="18" t="s">
        <v>24</v>
      </c>
    </row>
    <row r="2" spans="1:8" ht="120" x14ac:dyDescent="0.25">
      <c r="A2" s="2" t="s">
        <v>122</v>
      </c>
      <c r="B2" s="2" t="s">
        <v>90</v>
      </c>
      <c r="C2" s="3" t="s">
        <v>132</v>
      </c>
      <c r="D2" s="3" t="s">
        <v>142</v>
      </c>
      <c r="E2" s="1"/>
      <c r="F2" s="1"/>
      <c r="G2" s="1"/>
      <c r="H2" s="1"/>
    </row>
    <row r="3" spans="1:8" ht="105" x14ac:dyDescent="0.25">
      <c r="A3" s="2" t="s">
        <v>123</v>
      </c>
      <c r="B3" s="2" t="s">
        <v>94</v>
      </c>
      <c r="C3" s="3" t="s">
        <v>133</v>
      </c>
      <c r="D3" s="3" t="s">
        <v>143</v>
      </c>
      <c r="E3" s="1"/>
      <c r="F3" s="1"/>
      <c r="G3" s="1"/>
      <c r="H3" s="1"/>
    </row>
    <row r="4" spans="1:8" ht="120" x14ac:dyDescent="0.25">
      <c r="A4" s="2" t="s">
        <v>124</v>
      </c>
      <c r="B4" s="2" t="s">
        <v>97</v>
      </c>
      <c r="C4" s="3" t="s">
        <v>134</v>
      </c>
      <c r="D4" s="3" t="s">
        <v>144</v>
      </c>
      <c r="E4" s="1"/>
      <c r="F4" s="1"/>
      <c r="G4" s="1"/>
      <c r="H4" s="1"/>
    </row>
    <row r="5" spans="1:8" ht="120" x14ac:dyDescent="0.25">
      <c r="A5" s="2" t="s">
        <v>125</v>
      </c>
      <c r="B5" s="2" t="s">
        <v>100</v>
      </c>
      <c r="C5" s="3" t="s">
        <v>135</v>
      </c>
      <c r="D5" s="3" t="s">
        <v>145</v>
      </c>
      <c r="E5" s="1"/>
      <c r="F5" s="1"/>
      <c r="G5" s="1"/>
      <c r="H5" s="1"/>
    </row>
    <row r="6" spans="1:8" ht="120" x14ac:dyDescent="0.25">
      <c r="A6" s="2" t="s">
        <v>126</v>
      </c>
      <c r="B6" s="2" t="s">
        <v>103</v>
      </c>
      <c r="C6" s="3" t="s">
        <v>136</v>
      </c>
      <c r="D6" s="3" t="s">
        <v>146</v>
      </c>
      <c r="E6" s="1"/>
      <c r="F6" s="1"/>
      <c r="G6" s="1"/>
      <c r="H6" s="1"/>
    </row>
    <row r="7" spans="1:8" ht="105" x14ac:dyDescent="0.25">
      <c r="A7" s="2" t="s">
        <v>127</v>
      </c>
      <c r="B7" s="2" t="s">
        <v>105</v>
      </c>
      <c r="C7" s="3" t="s">
        <v>137</v>
      </c>
      <c r="D7" s="3" t="s">
        <v>147</v>
      </c>
      <c r="E7" s="1"/>
      <c r="F7" s="1"/>
      <c r="G7" s="1"/>
      <c r="H7" s="1"/>
    </row>
    <row r="8" spans="1:8" ht="90" x14ac:dyDescent="0.25">
      <c r="A8" s="2" t="s">
        <v>128</v>
      </c>
      <c r="B8" s="2" t="s">
        <v>106</v>
      </c>
      <c r="C8" s="3" t="s">
        <v>138</v>
      </c>
      <c r="D8" s="3" t="s">
        <v>148</v>
      </c>
      <c r="E8" s="1"/>
      <c r="F8" s="1"/>
      <c r="G8" s="1"/>
      <c r="H8" s="1"/>
    </row>
    <row r="9" spans="1:8" ht="120" x14ac:dyDescent="0.25">
      <c r="A9" s="2" t="s">
        <v>129</v>
      </c>
      <c r="B9" s="2" t="s">
        <v>107</v>
      </c>
      <c r="C9" s="3" t="s">
        <v>141</v>
      </c>
      <c r="D9" s="3" t="s">
        <v>149</v>
      </c>
      <c r="E9" s="1"/>
      <c r="F9" s="1"/>
      <c r="G9" s="1"/>
      <c r="H9" s="1"/>
    </row>
    <row r="10" spans="1:8" ht="90" x14ac:dyDescent="0.25">
      <c r="A10" s="2" t="s">
        <v>130</v>
      </c>
      <c r="B10" s="2" t="s">
        <v>108</v>
      </c>
      <c r="C10" s="3" t="s">
        <v>139</v>
      </c>
      <c r="D10" s="3" t="s">
        <v>150</v>
      </c>
      <c r="E10" s="1"/>
      <c r="F10" s="1"/>
      <c r="G10" s="1"/>
      <c r="H10" s="1"/>
    </row>
    <row r="11" spans="1:8" ht="105" x14ac:dyDescent="0.25">
      <c r="A11" s="2" t="s">
        <v>131</v>
      </c>
      <c r="B11" s="2" t="s">
        <v>109</v>
      </c>
      <c r="C11" s="3" t="s">
        <v>140</v>
      </c>
      <c r="D11" s="3" t="s">
        <v>151</v>
      </c>
      <c r="E11" s="1"/>
      <c r="F11" s="1"/>
      <c r="G11" s="1"/>
      <c r="H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F3" sqref="F3"/>
    </sheetView>
  </sheetViews>
  <sheetFormatPr baseColWidth="10" defaultRowHeight="15" x14ac:dyDescent="0.25"/>
  <cols>
    <col min="2" max="2" width="15.42578125" customWidth="1"/>
  </cols>
  <sheetData>
    <row r="1" spans="1:4" x14ac:dyDescent="0.25">
      <c r="A1" s="18" t="s">
        <v>56</v>
      </c>
      <c r="B1" s="18" t="s">
        <v>89</v>
      </c>
      <c r="C1" s="18" t="s">
        <v>22</v>
      </c>
      <c r="D1" s="18" t="s">
        <v>23</v>
      </c>
    </row>
    <row r="2" spans="1:4" ht="90" x14ac:dyDescent="0.25">
      <c r="A2" s="2" t="s">
        <v>90</v>
      </c>
      <c r="B2" s="3" t="s">
        <v>59</v>
      </c>
      <c r="C2" s="3" t="s">
        <v>93</v>
      </c>
      <c r="D2" s="3" t="s">
        <v>92</v>
      </c>
    </row>
    <row r="3" spans="1:4" ht="135" x14ac:dyDescent="0.25">
      <c r="A3" s="2" t="s">
        <v>94</v>
      </c>
      <c r="B3" s="3" t="s">
        <v>63</v>
      </c>
      <c r="C3" s="2" t="s">
        <v>95</v>
      </c>
      <c r="D3" s="3" t="s">
        <v>96</v>
      </c>
    </row>
    <row r="4" spans="1:4" ht="105" x14ac:dyDescent="0.25">
      <c r="A4" s="2" t="s">
        <v>97</v>
      </c>
      <c r="B4" s="3" t="s">
        <v>65</v>
      </c>
      <c r="C4" s="2" t="s">
        <v>98</v>
      </c>
      <c r="D4" s="3" t="s">
        <v>99</v>
      </c>
    </row>
    <row r="5" spans="1:4" ht="120" x14ac:dyDescent="0.25">
      <c r="A5" s="2" t="s">
        <v>100</v>
      </c>
      <c r="B5" s="3" t="s">
        <v>68</v>
      </c>
      <c r="C5" s="2" t="s">
        <v>101</v>
      </c>
      <c r="D5" s="3" t="s">
        <v>102</v>
      </c>
    </row>
    <row r="6" spans="1:4" ht="120" x14ac:dyDescent="0.25">
      <c r="A6" s="2" t="s">
        <v>103</v>
      </c>
      <c r="B6" s="3" t="s">
        <v>71</v>
      </c>
      <c r="C6" s="2" t="s">
        <v>104</v>
      </c>
      <c r="D6" s="3" t="s">
        <v>110</v>
      </c>
    </row>
    <row r="7" spans="1:4" ht="135" x14ac:dyDescent="0.25">
      <c r="A7" s="2" t="s">
        <v>105</v>
      </c>
      <c r="B7" s="3" t="s">
        <v>74</v>
      </c>
      <c r="C7" s="2" t="s">
        <v>111</v>
      </c>
      <c r="D7" s="3" t="s">
        <v>112</v>
      </c>
    </row>
    <row r="8" spans="1:4" ht="120" x14ac:dyDescent="0.25">
      <c r="A8" s="2" t="s">
        <v>106</v>
      </c>
      <c r="B8" s="3" t="s">
        <v>77</v>
      </c>
      <c r="C8" s="2" t="s">
        <v>113</v>
      </c>
      <c r="D8" s="3" t="s">
        <v>114</v>
      </c>
    </row>
    <row r="9" spans="1:4" ht="105" x14ac:dyDescent="0.25">
      <c r="A9" s="2" t="s">
        <v>107</v>
      </c>
      <c r="B9" s="3" t="s">
        <v>80</v>
      </c>
      <c r="C9" s="2" t="s">
        <v>115</v>
      </c>
      <c r="D9" s="3" t="s">
        <v>116</v>
      </c>
    </row>
    <row r="10" spans="1:4" ht="90" x14ac:dyDescent="0.25">
      <c r="A10" s="2" t="s">
        <v>108</v>
      </c>
      <c r="B10" s="3" t="s">
        <v>83</v>
      </c>
      <c r="C10" s="2" t="s">
        <v>117</v>
      </c>
      <c r="D10" s="3" t="s">
        <v>118</v>
      </c>
    </row>
    <row r="11" spans="1:4" ht="105" x14ac:dyDescent="0.25">
      <c r="A11" s="2" t="s">
        <v>109</v>
      </c>
      <c r="B11" s="3" t="s">
        <v>86</v>
      </c>
      <c r="C11" s="2" t="s">
        <v>119</v>
      </c>
      <c r="D11" s="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A4" sqref="A4"/>
    </sheetView>
  </sheetViews>
  <sheetFormatPr baseColWidth="10" defaultRowHeight="15" x14ac:dyDescent="0.25"/>
  <sheetData>
    <row r="1" spans="1:3" x14ac:dyDescent="0.25">
      <c r="A1" s="17" t="s">
        <v>56</v>
      </c>
      <c r="B1" s="17" t="s">
        <v>58</v>
      </c>
      <c r="C1" s="17" t="s">
        <v>57</v>
      </c>
    </row>
    <row r="2" spans="1:3" ht="120" x14ac:dyDescent="0.25">
      <c r="A2" s="3" t="s">
        <v>59</v>
      </c>
      <c r="B2" s="3" t="s">
        <v>60</v>
      </c>
      <c r="C2" s="3" t="s">
        <v>61</v>
      </c>
    </row>
    <row r="3" spans="1:3" ht="120" x14ac:dyDescent="0.25">
      <c r="A3" s="3" t="s">
        <v>63</v>
      </c>
      <c r="B3" s="3" t="s">
        <v>62</v>
      </c>
      <c r="C3" s="3" t="s">
        <v>64</v>
      </c>
    </row>
    <row r="4" spans="1:3" ht="90" x14ac:dyDescent="0.25">
      <c r="A4" s="3" t="s">
        <v>91</v>
      </c>
      <c r="B4" s="3" t="s">
        <v>66</v>
      </c>
      <c r="C4" s="3" t="s">
        <v>67</v>
      </c>
    </row>
    <row r="5" spans="1:3" ht="105" x14ac:dyDescent="0.25">
      <c r="A5" s="3" t="s">
        <v>68</v>
      </c>
      <c r="B5" s="3" t="s">
        <v>69</v>
      </c>
      <c r="C5" s="3" t="s">
        <v>70</v>
      </c>
    </row>
    <row r="6" spans="1:3" ht="90" x14ac:dyDescent="0.25">
      <c r="A6" s="3" t="s">
        <v>71</v>
      </c>
      <c r="B6" s="3" t="s">
        <v>72</v>
      </c>
      <c r="C6" s="3" t="s">
        <v>73</v>
      </c>
    </row>
    <row r="7" spans="1:3" ht="90" x14ac:dyDescent="0.25">
      <c r="A7" s="3" t="s">
        <v>74</v>
      </c>
      <c r="B7" s="3" t="s">
        <v>75</v>
      </c>
      <c r="C7" s="6" t="s">
        <v>76</v>
      </c>
    </row>
    <row r="8" spans="1:3" ht="135" x14ac:dyDescent="0.25">
      <c r="A8" s="3" t="s">
        <v>77</v>
      </c>
      <c r="B8" s="3" t="s">
        <v>78</v>
      </c>
      <c r="C8" s="3" t="s">
        <v>79</v>
      </c>
    </row>
    <row r="9" spans="1:3" ht="105" x14ac:dyDescent="0.25">
      <c r="A9" s="3" t="s">
        <v>80</v>
      </c>
      <c r="B9" s="3" t="s">
        <v>81</v>
      </c>
      <c r="C9" s="3" t="s">
        <v>82</v>
      </c>
    </row>
    <row r="10" spans="1:3" ht="135" x14ac:dyDescent="0.25">
      <c r="A10" s="3" t="s">
        <v>83</v>
      </c>
      <c r="B10" s="3" t="s">
        <v>84</v>
      </c>
      <c r="C10" s="3" t="s">
        <v>85</v>
      </c>
    </row>
    <row r="11" spans="1:3" ht="90" x14ac:dyDescent="0.25">
      <c r="A11" s="3" t="s">
        <v>86</v>
      </c>
      <c r="B11" s="3" t="s">
        <v>87</v>
      </c>
      <c r="C11" s="3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F6" sqref="F6"/>
    </sheetView>
  </sheetViews>
  <sheetFormatPr baseColWidth="10" defaultRowHeight="15" x14ac:dyDescent="0.25"/>
  <cols>
    <col min="2" max="3" width="12.5703125" customWidth="1"/>
    <col min="4" max="4" width="12.5703125" style="13" customWidth="1"/>
  </cols>
  <sheetData>
    <row r="1" spans="1:4" x14ac:dyDescent="0.25">
      <c r="A1" s="28" t="s">
        <v>228</v>
      </c>
      <c r="B1" s="18" t="s">
        <v>0</v>
      </c>
      <c r="C1" s="18" t="s">
        <v>1</v>
      </c>
      <c r="D1" s="19" t="s">
        <v>2</v>
      </c>
    </row>
    <row r="2" spans="1:4" x14ac:dyDescent="0.25">
      <c r="A2" s="27" t="s">
        <v>186</v>
      </c>
      <c r="B2" s="2" t="s">
        <v>3</v>
      </c>
      <c r="C2" s="3" t="s">
        <v>218</v>
      </c>
      <c r="D2" s="14">
        <v>49900</v>
      </c>
    </row>
    <row r="3" spans="1:4" ht="30" x14ac:dyDescent="0.25">
      <c r="A3" s="27" t="s">
        <v>187</v>
      </c>
      <c r="B3" s="3" t="s">
        <v>4</v>
      </c>
      <c r="C3" s="3" t="s">
        <v>5</v>
      </c>
      <c r="D3" s="15">
        <v>89900</v>
      </c>
    </row>
    <row r="4" spans="1:4" ht="45" x14ac:dyDescent="0.25">
      <c r="A4" s="27" t="s">
        <v>188</v>
      </c>
      <c r="B4" s="3" t="s">
        <v>6</v>
      </c>
      <c r="C4" s="11" t="s">
        <v>7</v>
      </c>
      <c r="D4" s="9">
        <v>69900</v>
      </c>
    </row>
    <row r="5" spans="1:4" ht="45" x14ac:dyDescent="0.25">
      <c r="A5" s="27" t="s">
        <v>189</v>
      </c>
      <c r="B5" s="2" t="s">
        <v>8</v>
      </c>
      <c r="C5" s="12" t="s">
        <v>9</v>
      </c>
      <c r="D5" s="9">
        <v>109900</v>
      </c>
    </row>
    <row r="6" spans="1:4" ht="45" x14ac:dyDescent="0.25">
      <c r="A6" s="27" t="s">
        <v>190</v>
      </c>
      <c r="B6" s="2" t="s">
        <v>10</v>
      </c>
      <c r="C6" s="3" t="s">
        <v>11</v>
      </c>
      <c r="D6" s="9">
        <v>79900</v>
      </c>
    </row>
    <row r="7" spans="1:4" ht="45" x14ac:dyDescent="0.25">
      <c r="A7" s="27" t="s">
        <v>191</v>
      </c>
      <c r="B7" s="3" t="s">
        <v>12</v>
      </c>
      <c r="C7" s="3" t="s">
        <v>13</v>
      </c>
      <c r="D7" s="9">
        <v>129900</v>
      </c>
    </row>
    <row r="8" spans="1:4" ht="45" x14ac:dyDescent="0.25">
      <c r="A8" s="27" t="s">
        <v>192</v>
      </c>
      <c r="B8" s="2" t="s">
        <v>14</v>
      </c>
      <c r="C8" s="3" t="s">
        <v>15</v>
      </c>
      <c r="D8" s="9">
        <v>59900</v>
      </c>
    </row>
    <row r="9" spans="1:4" ht="30" x14ac:dyDescent="0.25">
      <c r="A9" s="27" t="s">
        <v>193</v>
      </c>
      <c r="B9" s="3" t="s">
        <v>18</v>
      </c>
      <c r="C9" s="3" t="s">
        <v>16</v>
      </c>
      <c r="D9" s="9">
        <v>54900</v>
      </c>
    </row>
    <row r="10" spans="1:4" ht="30" x14ac:dyDescent="0.25">
      <c r="A10" s="27" t="s">
        <v>194</v>
      </c>
      <c r="B10" s="3" t="s">
        <v>17</v>
      </c>
      <c r="C10" s="3" t="s">
        <v>19</v>
      </c>
      <c r="D10" s="9">
        <v>39900</v>
      </c>
    </row>
    <row r="11" spans="1:4" ht="30" x14ac:dyDescent="0.25">
      <c r="A11" s="27" t="s">
        <v>195</v>
      </c>
      <c r="B11" s="3" t="s">
        <v>20</v>
      </c>
      <c r="C11" s="3" t="s">
        <v>21</v>
      </c>
      <c r="D11" s="9">
        <v>64900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"/>
  <sheetViews>
    <sheetView zoomScale="85" zoomScaleNormal="85" workbookViewId="0">
      <selection activeCell="A2" sqref="A2:A11"/>
    </sheetView>
  </sheetViews>
  <sheetFormatPr baseColWidth="10" defaultRowHeight="15" x14ac:dyDescent="0.25"/>
  <cols>
    <col min="2" max="2" width="15.28515625" customWidth="1"/>
    <col min="3" max="3" width="35.7109375" customWidth="1"/>
    <col min="5" max="5" width="13.85546875" customWidth="1"/>
    <col min="6" max="6" width="22.42578125" customWidth="1"/>
    <col min="7" max="7" width="18.140625" customWidth="1"/>
    <col min="8" max="8" width="17.85546875" customWidth="1"/>
    <col min="9" max="9" width="17.28515625" customWidth="1"/>
    <col min="10" max="10" width="20.28515625" customWidth="1"/>
    <col min="11" max="11" width="17.140625" customWidth="1"/>
    <col min="12" max="12" width="20.28515625" customWidth="1"/>
    <col min="13" max="13" width="11.85546875" bestFit="1" customWidth="1"/>
    <col min="14" max="14" width="20.28515625" customWidth="1"/>
    <col min="15" max="15" width="11.85546875" bestFit="1" customWidth="1"/>
    <col min="16" max="16" width="8.5703125" customWidth="1"/>
  </cols>
  <sheetData>
    <row r="1" spans="1:16" x14ac:dyDescent="0.25">
      <c r="A1" s="16" t="s">
        <v>0</v>
      </c>
      <c r="B1" s="21" t="s">
        <v>182</v>
      </c>
      <c r="C1" s="21" t="s">
        <v>58</v>
      </c>
      <c r="D1" s="21" t="s">
        <v>207</v>
      </c>
      <c r="E1" s="21" t="s">
        <v>184</v>
      </c>
      <c r="F1" s="21" t="s">
        <v>220</v>
      </c>
      <c r="G1" s="21" t="s">
        <v>183</v>
      </c>
      <c r="H1" s="21" t="s">
        <v>185</v>
      </c>
      <c r="I1" s="20" t="s">
        <v>22</v>
      </c>
      <c r="J1" s="21" t="s">
        <v>219</v>
      </c>
      <c r="K1" s="20" t="s">
        <v>22</v>
      </c>
      <c r="L1" s="21" t="s">
        <v>196</v>
      </c>
      <c r="M1" s="20" t="s">
        <v>58</v>
      </c>
      <c r="N1" s="22" t="s">
        <v>226</v>
      </c>
      <c r="O1" s="20" t="s">
        <v>58</v>
      </c>
      <c r="P1" s="5"/>
    </row>
    <row r="2" spans="1:16" ht="30" x14ac:dyDescent="0.25">
      <c r="A2" s="8" t="s">
        <v>186</v>
      </c>
      <c r="B2" s="3" t="s">
        <v>3</v>
      </c>
      <c r="C2" s="12" t="str">
        <f>VLOOKUP(B2,Producto!B2:D11,2,FALSE)</f>
        <v>iphon 17</v>
      </c>
      <c r="D2" s="2" t="s">
        <v>208</v>
      </c>
      <c r="E2" s="6" t="s">
        <v>206</v>
      </c>
      <c r="F2" s="2" t="str">
        <f>IFERROR(VLOOKUP(Pedido!L:L,pais!A:C,3,FALSE),"No existe")</f>
        <v>colombiano</v>
      </c>
      <c r="G2" s="2" t="str">
        <f>IFERROR(VLOOKUP(J2,municipio!A:C,3,FALSE),"No existe")</f>
        <v>Medellín</v>
      </c>
      <c r="H2" s="2" t="s">
        <v>26</v>
      </c>
      <c r="I2" s="2" t="str">
        <f>VLOOKUP(H2,Barrio!A:A:'Barrio'!B:B,2,FALSE)</f>
        <v>La Candelaria</v>
      </c>
      <c r="J2" s="3" t="s">
        <v>153</v>
      </c>
      <c r="K2" s="2" t="str">
        <f>VLOOKUP(J2,municipio!A:C,3,FALSE)</f>
        <v>Medellín</v>
      </c>
      <c r="L2" s="2" t="s">
        <v>90</v>
      </c>
      <c r="M2" s="2" t="str">
        <f>VLOOKUP(Pedido!L:L,pais!A:C,3,FALSE)</f>
        <v>colombiano</v>
      </c>
      <c r="N2" s="3" t="s">
        <v>59</v>
      </c>
      <c r="O2" s="3" t="str">
        <f>VLOOKUP(Pedido!N2,continente!A:B,2,FALSE)</f>
        <v>África</v>
      </c>
    </row>
    <row r="3" spans="1:16" ht="30" x14ac:dyDescent="0.25">
      <c r="A3" s="8" t="s">
        <v>187</v>
      </c>
      <c r="B3" s="3" t="s">
        <v>4</v>
      </c>
      <c r="C3" s="12" t="str">
        <f>VLOOKUP(B3,Producto!B3:D12,2,FALSE)</f>
        <v>Jeans Skinny Azul Claro</v>
      </c>
      <c r="D3" s="2" t="s">
        <v>209</v>
      </c>
      <c r="E3" s="6" t="s">
        <v>205</v>
      </c>
      <c r="F3" s="2" t="str">
        <f>IFERROR(VLOOKUP(Pedido!L:L,pais!A:C,3,FALSE),"No existe")</f>
        <v>Canadá</v>
      </c>
      <c r="G3" s="2" t="str">
        <f>IFERROR(VLOOKUP(J3,municipio!A:C,3,FALSE),"No existe")</f>
        <v>Toronto</v>
      </c>
      <c r="H3" s="2" t="s">
        <v>29</v>
      </c>
      <c r="I3" s="2" t="str">
        <f>VLOOKUP(H3,Barrio!A:A:'Barrio'!B:B,2,FALSE)</f>
        <v>Chapinero</v>
      </c>
      <c r="J3" s="3" t="s">
        <v>154</v>
      </c>
      <c r="K3" s="2" t="str">
        <f>VLOOKUP(J3,municipio!A:C,3,FALSE)</f>
        <v>Toronto</v>
      </c>
      <c r="L3" s="2" t="s">
        <v>94</v>
      </c>
      <c r="M3" s="2" t="str">
        <f>VLOOKUP(Pedido!L:L,pais!A:C,3,FALSE)</f>
        <v>Canadá</v>
      </c>
      <c r="N3" s="3" t="s">
        <v>63</v>
      </c>
      <c r="O3" s="3" t="str">
        <f>VLOOKUP(Pedido!N3,continente!A:B,2,FALSE)</f>
        <v>América del Norte</v>
      </c>
    </row>
    <row r="4" spans="1:16" ht="30" x14ac:dyDescent="0.25">
      <c r="A4" s="8" t="s">
        <v>188</v>
      </c>
      <c r="B4" s="3" t="s">
        <v>6</v>
      </c>
      <c r="C4" s="12" t="str">
        <f>VLOOKUP(B4,Producto!B4:D13,2,FALSE)</f>
        <v>Vestido Floral Corto Verano</v>
      </c>
      <c r="D4" s="2" t="s">
        <v>210</v>
      </c>
      <c r="E4" s="6" t="s">
        <v>204</v>
      </c>
      <c r="F4" s="2" t="str">
        <f>IFERROR(VLOOKUP(Pedido!L:L,pais!A:C,3,FALSE),"No existe")</f>
        <v>Alemania</v>
      </c>
      <c r="G4" s="2" t="str">
        <f>IFERROR(VLOOKUP(J4,municipio!A:C,3,FALSE),"No existe")</f>
        <v>Múnich</v>
      </c>
      <c r="H4" s="3" t="s">
        <v>32</v>
      </c>
      <c r="I4" s="2" t="str">
        <f>VLOOKUP(H4,Barrio!A:A:'Barrio'!B:B,2,FALSE)</f>
        <v>El Poblado</v>
      </c>
      <c r="J4" s="3" t="s">
        <v>155</v>
      </c>
      <c r="K4" s="2" t="str">
        <f>VLOOKUP(J4,municipio!A:C,3,FALSE)</f>
        <v>Múnich</v>
      </c>
      <c r="L4" s="2" t="s">
        <v>97</v>
      </c>
      <c r="M4" s="2" t="str">
        <f>VLOOKUP(Pedido!L:L,pais!A:C,3,FALSE)</f>
        <v>Alemania</v>
      </c>
      <c r="N4" s="3" t="s">
        <v>91</v>
      </c>
      <c r="O4" s="3" t="str">
        <f>VLOOKUP(Pedido!N4,continente!A:B,2,FALSE)</f>
        <v>América del Sur</v>
      </c>
    </row>
    <row r="5" spans="1:16" ht="30" x14ac:dyDescent="0.25">
      <c r="A5" s="8" t="s">
        <v>189</v>
      </c>
      <c r="B5" s="2" t="s">
        <v>8</v>
      </c>
      <c r="C5" s="12" t="str">
        <f>VLOOKUP(B5,Producto!B5:D14,2,FALSE)</f>
        <v>Chaqueta Denim Oversize</v>
      </c>
      <c r="D5" s="2" t="s">
        <v>211</v>
      </c>
      <c r="E5" s="6" t="s">
        <v>203</v>
      </c>
      <c r="F5" s="2" t="str">
        <f>IFERROR(VLOOKUP(Pedido!L:L,pais!A:C,3,FALSE),"No existe")</f>
        <v>Japón</v>
      </c>
      <c r="G5" s="2" t="str">
        <f>IFERROR(VLOOKUP(J5,municipio!A:C,3,FALSE),"No existe")</f>
        <v>Shinjuku</v>
      </c>
      <c r="H5" s="2" t="s">
        <v>35</v>
      </c>
      <c r="I5" s="2" t="str">
        <f>VLOOKUP(H5,Barrio!A:A:'Barrio'!B:B,2,FALSE)</f>
        <v>Laureles</v>
      </c>
      <c r="J5" s="3" t="s">
        <v>156</v>
      </c>
      <c r="K5" s="2" t="str">
        <f>VLOOKUP(J5,municipio!A:C,3,FALSE)</f>
        <v>Shinjuku</v>
      </c>
      <c r="L5" s="2" t="s">
        <v>100</v>
      </c>
      <c r="M5" s="2" t="str">
        <f>VLOOKUP(Pedido!L:L,pais!A:C,3,FALSE)</f>
        <v>Japón</v>
      </c>
      <c r="N5" s="3" t="s">
        <v>68</v>
      </c>
      <c r="O5" s="3" t="str">
        <f>VLOOKUP(Pedido!N5,continente!A:B,2,FALSE)</f>
        <v>América Central</v>
      </c>
    </row>
    <row r="6" spans="1:16" ht="30" x14ac:dyDescent="0.25">
      <c r="A6" s="8" t="s">
        <v>190</v>
      </c>
      <c r="B6" s="2" t="s">
        <v>10</v>
      </c>
      <c r="C6" s="12" t="str">
        <f>VLOOKUP(B6,Producto!B6:D15,2,FALSE)</f>
        <v>Conjunto Deportivo Mujer Negro</v>
      </c>
      <c r="D6" s="2" t="s">
        <v>212</v>
      </c>
      <c r="E6" s="6" t="s">
        <v>202</v>
      </c>
      <c r="F6" s="2" t="str">
        <f>IFERROR(VLOOKUP(Pedido!L:L,pais!A:C,3,FALSE),"No existe")</f>
        <v>Australia</v>
      </c>
      <c r="G6" s="2" t="str">
        <f>IFERROR(VLOOKUP(J6,municipio!A:C,3,FALSE),"No existe")</f>
        <v>Sídney</v>
      </c>
      <c r="H6" s="2" t="s">
        <v>38</v>
      </c>
      <c r="I6" s="2" t="str">
        <f>VLOOKUP(H6,Barrio!A:A:'Barrio'!B:B,2,FALSE)</f>
        <v>San Fernando</v>
      </c>
      <c r="J6" s="3" t="s">
        <v>157</v>
      </c>
      <c r="K6" s="2" t="str">
        <f>VLOOKUP(J6,municipio!A:C,3,FALSE)</f>
        <v>Sídney</v>
      </c>
      <c r="L6" s="2" t="s">
        <v>103</v>
      </c>
      <c r="M6" s="2" t="str">
        <f>VLOOKUP(Pedido!L:L,pais!A:C,3,FALSE)</f>
        <v>Australia</v>
      </c>
      <c r="N6" s="3" t="s">
        <v>71</v>
      </c>
      <c r="O6" s="3" t="str">
        <f>VLOOKUP(Pedido!N6,continente!A:B,2,FALSE)</f>
        <v>Europa</v>
      </c>
    </row>
    <row r="7" spans="1:16" ht="46.5" customHeight="1" x14ac:dyDescent="0.25">
      <c r="A7" s="8" t="s">
        <v>191</v>
      </c>
      <c r="B7" s="3" t="s">
        <v>12</v>
      </c>
      <c r="C7" s="12" t="str">
        <f>VLOOKUP(B7,Producto!B7:D16,2,FALSE)</f>
        <v>Zapatos Deportivos Blancos</v>
      </c>
      <c r="D7" s="2" t="s">
        <v>213</v>
      </c>
      <c r="E7" s="3" t="s">
        <v>197</v>
      </c>
      <c r="F7" s="2" t="str">
        <f>IFERROR(VLOOKUP(Pedido!L:L,pais!A:C,3,FALSE),"No existe")</f>
        <v>Egipto</v>
      </c>
      <c r="G7" s="2" t="str">
        <f>IFERROR(VLOOKUP(J7,municipio!A:C,3,FALSE),"No existe")</f>
        <v>Giza</v>
      </c>
      <c r="H7" s="2" t="s">
        <v>41</v>
      </c>
      <c r="I7" s="2" t="str">
        <f>VLOOKUP(H7,Barrio!A:A:'Barrio'!B:B,2,FALSE)</f>
        <v>Ciudad Jardín</v>
      </c>
      <c r="J7" s="3" t="s">
        <v>158</v>
      </c>
      <c r="K7" s="2" t="str">
        <f>VLOOKUP(J7,municipio!A:C,3,FALSE)</f>
        <v>Giza</v>
      </c>
      <c r="L7" s="2" t="s">
        <v>105</v>
      </c>
      <c r="M7" s="2" t="str">
        <f>VLOOKUP(Pedido!L:L,pais!A:C,3,FALSE)</f>
        <v>Egipto</v>
      </c>
      <c r="N7" s="3" t="s">
        <v>74</v>
      </c>
      <c r="O7" s="3" t="str">
        <f>VLOOKUP(Pedido!N7,continente!A:B,2,FALSE)</f>
        <v>Asia</v>
      </c>
    </row>
    <row r="8" spans="1:16" ht="45" x14ac:dyDescent="0.25">
      <c r="A8" s="8" t="s">
        <v>192</v>
      </c>
      <c r="B8" s="2" t="s">
        <v>14</v>
      </c>
      <c r="C8" s="12" t="str">
        <f>VLOOKUP(B8,Producto!B8:D17,2,FALSE)</f>
        <v>Bolso Crossbody Marrón</v>
      </c>
      <c r="D8" s="2" t="s">
        <v>214</v>
      </c>
      <c r="E8" s="6" t="s">
        <v>198</v>
      </c>
      <c r="F8" s="2" t="str">
        <f>IFERROR(VLOOKUP(Pedido!L:L,pais!A:C,3,FALSE),"No existe")</f>
        <v>Argentina</v>
      </c>
      <c r="G8" s="2" t="str">
        <f>IFERROR(VLOOKUP(J8,municipio!A:C,3,FALSE),"No existe")</f>
        <v>La Plata</v>
      </c>
      <c r="H8" s="2" t="s">
        <v>44</v>
      </c>
      <c r="I8" s="2" t="str">
        <f>VLOOKUP(H8,Barrio!A:A:'Barrio'!B:B,2,FALSE)</f>
        <v>Manga</v>
      </c>
      <c r="J8" s="3" t="s">
        <v>159</v>
      </c>
      <c r="K8" s="2" t="str">
        <f>VLOOKUP(J8,municipio!A:C,3,FALSE)</f>
        <v>La Plata</v>
      </c>
      <c r="L8" s="2" t="s">
        <v>106</v>
      </c>
      <c r="M8" s="2" t="str">
        <f>VLOOKUP(Pedido!L:L,pais!A:C,3,FALSE)</f>
        <v>Argentina</v>
      </c>
      <c r="N8" s="3" t="s">
        <v>77</v>
      </c>
      <c r="O8" s="3" t="str">
        <f>VLOOKUP(Pedido!N8,continente!A:B,2,FALSE)</f>
        <v>Oceanía</v>
      </c>
    </row>
    <row r="9" spans="1:16" ht="30" x14ac:dyDescent="0.25">
      <c r="A9" s="8" t="s">
        <v>193</v>
      </c>
      <c r="B9" s="3" t="s">
        <v>18</v>
      </c>
      <c r="C9" s="12" t="str">
        <f>VLOOKUP(B9,Producto!B9:D18,2,FALSE)</f>
        <v>Pijama Satín Rosa</v>
      </c>
      <c r="D9" s="2" t="s">
        <v>215</v>
      </c>
      <c r="E9" s="3" t="s">
        <v>199</v>
      </c>
      <c r="F9" s="2" t="str">
        <f>IFERROR(VLOOKUP(Pedido!L:L,pais!A:C,3,FALSE),"No existe")</f>
        <v>India</v>
      </c>
      <c r="G9" s="2" t="str">
        <f>IFERROR(VLOOKUP(J9,municipio!A:C,3,FALSE),"No existe")</f>
        <v>Mumbai</v>
      </c>
      <c r="H9" s="2" t="s">
        <v>47</v>
      </c>
      <c r="I9" s="2" t="str">
        <f>VLOOKUP(H9,Barrio!A:A:'Barrio'!B:B,2,FALSE)</f>
        <v>Bocagrande</v>
      </c>
      <c r="J9" s="3" t="s">
        <v>160</v>
      </c>
      <c r="K9" s="2" t="str">
        <f>VLOOKUP(J9,municipio!A:C,3,FALSE)</f>
        <v>Mumbai</v>
      </c>
      <c r="L9" s="2" t="s">
        <v>107</v>
      </c>
      <c r="M9" s="2" t="str">
        <f>VLOOKUP(Pedido!L:L,pais!A:C,3,FALSE)</f>
        <v>India</v>
      </c>
      <c r="N9" s="3" t="s">
        <v>80</v>
      </c>
      <c r="O9" s="3" t="str">
        <f>VLOOKUP(Pedido!N9,continente!A:B,2,FALSE)</f>
        <v>Antártida</v>
      </c>
    </row>
    <row r="10" spans="1:16" ht="30" x14ac:dyDescent="0.25">
      <c r="A10" s="8" t="s">
        <v>194</v>
      </c>
      <c r="B10" s="3" t="s">
        <v>17</v>
      </c>
      <c r="C10" s="12" t="str">
        <f>VLOOKUP(B10,Producto!B10:D19,2,FALSE)</f>
        <v>Top Crop Blanco</v>
      </c>
      <c r="D10" s="2" t="s">
        <v>216</v>
      </c>
      <c r="E10" s="6" t="s">
        <v>200</v>
      </c>
      <c r="F10" s="2" t="str">
        <f>IFERROR(VLOOKUP(Pedido!L:L,pais!A:C,3,FALSE),"No existe")</f>
        <v>Francia</v>
      </c>
      <c r="G10" s="2" t="str">
        <f>IFERROR(VLOOKUP(J10,municipio!A:C,3,FALSE),"No existe")</f>
        <v>París</v>
      </c>
      <c r="H10" s="2" t="s">
        <v>50</v>
      </c>
      <c r="I10" s="2" t="str">
        <f>VLOOKUP(H10,Barrio!A:A:'Barrio'!B:B,2,FALSE)</f>
        <v>Cabecera del Llano</v>
      </c>
      <c r="J10" s="3" t="s">
        <v>161</v>
      </c>
      <c r="K10" s="2" t="str">
        <f>VLOOKUP(J10,municipio!A:C,3,FALSE)</f>
        <v>París</v>
      </c>
      <c r="L10" s="2" t="s">
        <v>108</v>
      </c>
      <c r="M10" s="2" t="str">
        <f>VLOOKUP(Pedido!L:L,pais!A:C,3,FALSE)</f>
        <v>Francia</v>
      </c>
      <c r="N10" s="3" t="s">
        <v>83</v>
      </c>
      <c r="O10" s="3" t="str">
        <f>VLOOKUP(Pedido!N10,continente!A:B,2,FALSE)</f>
        <v>Eurasia</v>
      </c>
    </row>
    <row r="11" spans="1:16" ht="30" x14ac:dyDescent="0.25">
      <c r="A11" s="8" t="s">
        <v>195</v>
      </c>
      <c r="B11" s="3" t="s">
        <v>20</v>
      </c>
      <c r="C11" s="12" t="str">
        <f>VLOOKUP(B11,Producto!B11:D20,2,FALSE)</f>
        <v>Falda Plisada Negra</v>
      </c>
      <c r="D11" s="2" t="s">
        <v>217</v>
      </c>
      <c r="E11" s="3" t="s">
        <v>201</v>
      </c>
      <c r="F11" s="2" t="str">
        <f>IFERROR(VLOOKUP(Pedido!L:L,pais!A:C,3,FALSE),"No existe")</f>
        <v>Sudáfrica</v>
      </c>
      <c r="G11" s="2" t="str">
        <f>IFERROR(VLOOKUP(J11,municipio!A:C,3,FALSE),"No existe")</f>
        <v>Johannesburgo</v>
      </c>
      <c r="H11" s="2" t="s">
        <v>53</v>
      </c>
      <c r="I11" s="2" t="str">
        <f>VLOOKUP(H11,Barrio!A:A:'Barrio'!B:B,2,FALSE)</f>
        <v>Provenza</v>
      </c>
      <c r="J11" s="3" t="s">
        <v>162</v>
      </c>
      <c r="K11" s="2" t="str">
        <f>VLOOKUP(J11,municipio!A:C,3,FALSE)</f>
        <v>Johannesburgo</v>
      </c>
      <c r="L11" s="2" t="s">
        <v>109</v>
      </c>
      <c r="M11" s="2" t="str">
        <f>VLOOKUP(Pedido!L:L,pais!A:C,3,FALSE)</f>
        <v>Sudáfrica</v>
      </c>
      <c r="N11" s="3" t="s">
        <v>86</v>
      </c>
      <c r="O11" s="3" t="str">
        <f>VLOOKUP(Pedido!N11,continente!A:B,2,FALSE)</f>
        <v>América</v>
      </c>
    </row>
    <row r="12" spans="1:16" x14ac:dyDescent="0.25">
      <c r="A12" s="7"/>
      <c r="E12" s="5"/>
    </row>
    <row r="13" spans="1:16" x14ac:dyDescent="0.25">
      <c r="E13" s="4"/>
      <c r="F13" s="10"/>
    </row>
    <row r="14" spans="1:16" x14ac:dyDescent="0.25">
      <c r="E14" s="5"/>
    </row>
    <row r="15" spans="1:16" x14ac:dyDescent="0.25">
      <c r="E15" s="4"/>
    </row>
    <row r="16" spans="1:16" x14ac:dyDescent="0.25">
      <c r="E16" s="5"/>
    </row>
    <row r="17" spans="5:5" x14ac:dyDescent="0.25">
      <c r="E17" s="4"/>
    </row>
    <row r="18" spans="5:5" x14ac:dyDescent="0.25">
      <c r="E18" s="5"/>
    </row>
    <row r="19" spans="5:5" x14ac:dyDescent="0.25">
      <c r="E19" s="4"/>
    </row>
    <row r="20" spans="5:5" x14ac:dyDescent="0.25">
      <c r="E20" s="5"/>
    </row>
  </sheetData>
  <autoFilter ref="A1:K11" xr:uid="{00000000-0009-0000-0000-00000600000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233B-FB71-4F87-8657-0BBEFFA19675}">
  <dimension ref="A1:F10"/>
  <sheetViews>
    <sheetView tabSelected="1" workbookViewId="0">
      <selection activeCell="H8" sqref="H8"/>
    </sheetView>
  </sheetViews>
  <sheetFormatPr baseColWidth="10" defaultRowHeight="15" x14ac:dyDescent="0.25"/>
  <cols>
    <col min="2" max="2" width="16.140625" customWidth="1"/>
  </cols>
  <sheetData>
    <row r="1" spans="1:6" x14ac:dyDescent="0.25">
      <c r="A1" s="23"/>
      <c r="B1" s="23"/>
      <c r="C1" s="24"/>
    </row>
    <row r="2" spans="1:6" x14ac:dyDescent="0.25">
      <c r="A2" s="23"/>
      <c r="B2" s="23"/>
      <c r="D2" s="17" t="s">
        <v>221</v>
      </c>
      <c r="E2" s="29" t="s">
        <v>195</v>
      </c>
      <c r="F2" s="29"/>
    </row>
    <row r="3" spans="1:6" x14ac:dyDescent="0.25">
      <c r="A3" s="23"/>
      <c r="B3" s="23"/>
    </row>
    <row r="4" spans="1:6" x14ac:dyDescent="0.25">
      <c r="A4" s="23"/>
      <c r="B4" s="23"/>
      <c r="D4" s="18" t="s">
        <v>227</v>
      </c>
      <c r="E4" s="29" t="str">
        <f>IFERROR(VLOOKUP(E2,Pedido!A1:O11,4,FALSE),"No existe")</f>
        <v>Nicolás</v>
      </c>
      <c r="F4" s="29"/>
    </row>
    <row r="5" spans="1:6" x14ac:dyDescent="0.25">
      <c r="A5" s="23"/>
      <c r="B5" s="23"/>
      <c r="D5" s="18" t="s">
        <v>2</v>
      </c>
      <c r="E5" s="30">
        <f>IFERROR(VLOOKUP(E2,Producto!A1:D11,4,FALSE),"No existe")</f>
        <v>64900</v>
      </c>
      <c r="F5" s="30"/>
    </row>
    <row r="6" spans="1:6" x14ac:dyDescent="0.25">
      <c r="B6" s="4"/>
    </row>
    <row r="7" spans="1:6" ht="71.25" customHeight="1" x14ac:dyDescent="0.25">
      <c r="A7" s="25" t="s">
        <v>222</v>
      </c>
      <c r="B7" s="3" t="str">
        <f>IFERROR(VLOOKUP(E2,Pedido!A:O,11,FALSE),"no existe")</f>
        <v>Johannesburgo</v>
      </c>
    </row>
    <row r="8" spans="1:6" ht="114" customHeight="1" x14ac:dyDescent="0.25">
      <c r="A8" s="25" t="s">
        <v>223</v>
      </c>
      <c r="B8" s="3" t="str">
        <f>IFERROR(VLOOKUP(E2,Pedido!A:O,15,FALSE),"no existe")</f>
        <v>América</v>
      </c>
      <c r="C8" s="1"/>
      <c r="D8" s="1"/>
    </row>
    <row r="9" spans="1:6" ht="60" x14ac:dyDescent="0.25">
      <c r="A9" s="26" t="s">
        <v>224</v>
      </c>
      <c r="B9" s="3" t="str">
        <f>IFERROR(VLOOKUP(E2,Pedido!A:O,3,FALSE),"no existe")</f>
        <v>Falda Plisada Negra</v>
      </c>
    </row>
    <row r="10" spans="1:6" ht="105" x14ac:dyDescent="0.25">
      <c r="A10" s="26" t="s">
        <v>225</v>
      </c>
      <c r="B10" s="2" t="str">
        <f>IFERROR(VLOOKUP(E2,Pedido!A:O,13,FALSE),"no existe")</f>
        <v>Sudáfrica</v>
      </c>
    </row>
  </sheetData>
  <mergeCells count="4">
    <mergeCell ref="A1:B5"/>
    <mergeCell ref="E2:F2"/>
    <mergeCell ref="E4:F4"/>
    <mergeCell ref="E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Barrio</vt:lpstr>
      <vt:lpstr>municipio</vt:lpstr>
      <vt:lpstr>departamento</vt:lpstr>
      <vt:lpstr>pais</vt:lpstr>
      <vt:lpstr>continente</vt:lpstr>
      <vt:lpstr>Producto</vt:lpstr>
      <vt:lpstr>Pedido</vt:lpstr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MAYERLY</dc:creator>
  <cp:lastModifiedBy>99A_10104118901</cp:lastModifiedBy>
  <dcterms:created xsi:type="dcterms:W3CDTF">2026-03-01T20:54:17Z</dcterms:created>
  <dcterms:modified xsi:type="dcterms:W3CDTF">2026-03-03T03:52:32Z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2026-03-02T23:27:16Z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8af7e707-1429-4dfc-abac-17efb3383bea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